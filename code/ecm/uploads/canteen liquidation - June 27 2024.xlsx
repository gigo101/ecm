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n\Documents\PLANNING OFFICE\ROSEBUD\"/>
    </mc:Choice>
  </mc:AlternateContent>
  <xr:revisionPtr revIDLastSave="0" documentId="13_ncr:1_{8755059C-74BF-4267-8925-F8C38C5AA77E}" xr6:coauthVersionLast="47" xr6:coauthVersionMax="47" xr10:uidLastSave="{00000000-0000-0000-0000-000000000000}"/>
  <bookViews>
    <workbookView xWindow="-120" yWindow="-120" windowWidth="29040" windowHeight="15720" activeTab="1" xr2:uid="{F4E76A56-1038-4CC3-A7B5-F3B1A61DF7B2}"/>
  </bookViews>
  <sheets>
    <sheet name="UNSORTED JUNE 27 TO JULY 4" sheetId="1" r:id="rId1"/>
    <sheet name="SORTED JUNE 27 TO JULY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2" l="1"/>
  <c r="C57" i="2"/>
  <c r="C66" i="2"/>
  <c r="C60" i="2"/>
  <c r="C65" i="2"/>
  <c r="C64" i="2"/>
  <c r="C61" i="2"/>
  <c r="C63" i="2"/>
  <c r="C62" i="2"/>
  <c r="M29" i="2"/>
  <c r="C57" i="1"/>
  <c r="M29" i="1"/>
  <c r="I17" i="1" s="1"/>
</calcChain>
</file>

<file path=xl/sharedStrings.xml><?xml version="1.0" encoding="utf-8"?>
<sst xmlns="http://schemas.openxmlformats.org/spreadsheetml/2006/main" count="263" uniqueCount="59">
  <si>
    <t>DATE</t>
  </si>
  <si>
    <t>NAME</t>
  </si>
  <si>
    <t>AMOUNT</t>
  </si>
  <si>
    <t>PARTICULARS</t>
  </si>
  <si>
    <t>submitted amount</t>
  </si>
  <si>
    <t>Overdraft</t>
  </si>
  <si>
    <t>Panabo Public Market</t>
  </si>
  <si>
    <t>purchases</t>
  </si>
  <si>
    <t>Emma Gabutero</t>
  </si>
  <si>
    <t>fare</t>
  </si>
  <si>
    <t>Jolibee Cosa</t>
  </si>
  <si>
    <t>consignment</t>
  </si>
  <si>
    <t>Nelie Acto</t>
  </si>
  <si>
    <t>bank withdrawal</t>
  </si>
  <si>
    <t>JD Store</t>
  </si>
  <si>
    <t>Emelie Gubalane</t>
  </si>
  <si>
    <t>canteen supply</t>
  </si>
  <si>
    <t>Joan's Store et al</t>
  </si>
  <si>
    <t>JCA Wet and Dry Goods</t>
  </si>
  <si>
    <t>Josephine Ando</t>
  </si>
  <si>
    <t>Angel Noraine Breadhouse</t>
  </si>
  <si>
    <t>Charlie Daclan</t>
  </si>
  <si>
    <t>Marichelle Maglinao</t>
  </si>
  <si>
    <t>John Ernest Gomez</t>
  </si>
  <si>
    <t>TOTAL</t>
  </si>
  <si>
    <t>PURCHASES</t>
  </si>
  <si>
    <t>FARE</t>
  </si>
  <si>
    <t>PER DIEM</t>
  </si>
  <si>
    <t>BANK WITHDRAWAL</t>
  </si>
  <si>
    <t>CANTEEN SUPPLY</t>
  </si>
  <si>
    <t>ON CALL</t>
  </si>
  <si>
    <t>WATER BILL</t>
  </si>
  <si>
    <t>Davao Central Warehouse Club</t>
  </si>
  <si>
    <t>Ellen P. Bolivar</t>
  </si>
  <si>
    <t>1 Top Trade and Distribution</t>
  </si>
  <si>
    <t>Emelda Quijada</t>
  </si>
  <si>
    <t>Goldilocks et al</t>
  </si>
  <si>
    <t>Jinnah T. Enumerables</t>
  </si>
  <si>
    <t>BIR panabo</t>
  </si>
  <si>
    <t>T3 Works Graphics</t>
  </si>
  <si>
    <t>Imelda Quijada</t>
  </si>
  <si>
    <t>financed</t>
  </si>
  <si>
    <t>BP Baking et al</t>
  </si>
  <si>
    <t>Tata and Ren et al</t>
  </si>
  <si>
    <t>Gaisano Grand Mall</t>
  </si>
  <si>
    <t>MFULS</t>
  </si>
  <si>
    <t>on call</t>
  </si>
  <si>
    <t>Dvo Light</t>
  </si>
  <si>
    <t>Electric bill</t>
  </si>
  <si>
    <t>Red Ribbon et al</t>
  </si>
  <si>
    <t>Migz Food House</t>
  </si>
  <si>
    <t>Dvo North Dist Corp</t>
  </si>
  <si>
    <t>AC Dressed Chicken</t>
  </si>
  <si>
    <t>Danny Rice Retailing</t>
  </si>
  <si>
    <t>Panabo Public Market et al</t>
  </si>
  <si>
    <t>CML Consume Goods et al</t>
  </si>
  <si>
    <t>Guangyuan Phils</t>
  </si>
  <si>
    <t>Eelctric Bill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</si>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</sst>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43" fontId="2" fillId="0" borderId="1" xfId="1" applyFont="1" applyBorder="1"/>
    <xf numFmtId="0" fontId="0" fillId="0" borderId="1" xfId="0" applyBorder="1"/>
    <xf numFmtId="43" fontId="1" fillId="0" borderId="1" xfId="1" applyFont="1" applyBorder="1"/>
    <xf numFmtId="15" fontId="0" fillId="0" borderId="1" xfId="0" applyNumberFormat="1" applyBorder="1"/>
    <xf numFmtId="43" fontId="0" fillId="0" borderId="1" xfId="1" applyFont="1" applyBorder="1"/>
    <xf numFmtId="43" fontId="0" fillId="0" borderId="0" xfId="1" applyFont="1"/>
    <xf numFmtId="0" fontId="2" fillId="0" borderId="0" xfId="0" applyFont="1"/>
    <xf numFmtId="43" fontId="2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4822-E1DB-407F-900B-219C6FE2A343}">
  <dimension ref="A1:M67"/>
  <sheetViews>
    <sheetView workbookViewId="0">
      <selection activeCell="C20" sqref="C20"/>
    </sheetView>
  </sheetViews>
  <sheetFormatPr defaultRowHeight="15" x14ac:dyDescent="0.25"/>
  <cols>
    <col min="1" max="1" width="14.140625" customWidth="1"/>
    <col min="2" max="2" width="27.7109375" customWidth="1"/>
    <col min="3" max="4" width="17.140625" customWidth="1"/>
    <col min="5" max="5" width="15.5703125" style="7" customWidth="1"/>
    <col min="9" max="9" width="11.57031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13" x14ac:dyDescent="0.25">
      <c r="A2" s="3"/>
      <c r="B2" s="3" t="s">
        <v>5</v>
      </c>
      <c r="C2" s="4">
        <v>195.59</v>
      </c>
      <c r="D2" s="3"/>
      <c r="E2" s="4"/>
    </row>
    <row r="3" spans="1:13" x14ac:dyDescent="0.25">
      <c r="A3" s="5">
        <v>45470</v>
      </c>
      <c r="B3" s="3" t="s">
        <v>32</v>
      </c>
      <c r="C3" s="6">
        <v>9408</v>
      </c>
      <c r="D3" s="3" t="s">
        <v>7</v>
      </c>
      <c r="E3" s="6"/>
    </row>
    <row r="4" spans="1:13" x14ac:dyDescent="0.25">
      <c r="A4" s="5">
        <v>45470</v>
      </c>
      <c r="B4" s="3" t="s">
        <v>33</v>
      </c>
      <c r="C4" s="6">
        <v>135</v>
      </c>
      <c r="D4" s="3" t="s">
        <v>9</v>
      </c>
      <c r="E4" s="6"/>
    </row>
    <row r="5" spans="1:13" x14ac:dyDescent="0.25">
      <c r="A5" s="5">
        <v>45470</v>
      </c>
      <c r="B5" s="3" t="s">
        <v>15</v>
      </c>
      <c r="C5" s="6">
        <v>3740</v>
      </c>
      <c r="D5" s="3" t="s">
        <v>7</v>
      </c>
      <c r="E5" s="6" t="s">
        <v>11</v>
      </c>
    </row>
    <row r="6" spans="1:13" x14ac:dyDescent="0.25">
      <c r="A6" s="5">
        <v>45470</v>
      </c>
      <c r="B6" s="3" t="s">
        <v>34</v>
      </c>
      <c r="C6" s="6">
        <v>2000</v>
      </c>
      <c r="D6" s="3" t="s">
        <v>7</v>
      </c>
      <c r="E6" s="6"/>
    </row>
    <row r="7" spans="1:13" x14ac:dyDescent="0.25">
      <c r="A7" s="5">
        <v>45470</v>
      </c>
      <c r="B7" s="3" t="s">
        <v>22</v>
      </c>
      <c r="C7" s="6">
        <v>4804</v>
      </c>
      <c r="D7" s="3" t="s">
        <v>7</v>
      </c>
      <c r="E7" s="6" t="s">
        <v>11</v>
      </c>
      <c r="M7" s="7">
        <v>1200</v>
      </c>
    </row>
    <row r="8" spans="1:13" x14ac:dyDescent="0.25">
      <c r="A8" s="5">
        <v>45470</v>
      </c>
      <c r="B8" s="3" t="s">
        <v>35</v>
      </c>
      <c r="C8" s="6">
        <v>600</v>
      </c>
      <c r="D8" s="3" t="s">
        <v>7</v>
      </c>
      <c r="E8" s="6" t="s">
        <v>11</v>
      </c>
      <c r="M8" s="7">
        <v>130</v>
      </c>
    </row>
    <row r="9" spans="1:13" x14ac:dyDescent="0.25">
      <c r="A9" s="5">
        <v>45470</v>
      </c>
      <c r="B9" s="3" t="s">
        <v>36</v>
      </c>
      <c r="C9" s="6">
        <v>3135</v>
      </c>
      <c r="D9" s="3" t="s">
        <v>7</v>
      </c>
      <c r="E9" s="6"/>
      <c r="M9" s="7">
        <v>110</v>
      </c>
    </row>
    <row r="10" spans="1:13" x14ac:dyDescent="0.25">
      <c r="A10" s="5">
        <v>45470</v>
      </c>
      <c r="B10" s="3" t="s">
        <v>19</v>
      </c>
      <c r="C10" s="6">
        <v>50</v>
      </c>
      <c r="D10" s="3" t="s">
        <v>9</v>
      </c>
      <c r="E10" s="6"/>
      <c r="M10" s="7">
        <v>905</v>
      </c>
    </row>
    <row r="11" spans="1:13" x14ac:dyDescent="0.25">
      <c r="A11" s="5">
        <v>45470</v>
      </c>
      <c r="B11" s="3" t="s">
        <v>37</v>
      </c>
      <c r="C11" s="6">
        <v>5000</v>
      </c>
      <c r="D11" s="3" t="s">
        <v>13</v>
      </c>
      <c r="E11" s="6"/>
      <c r="M11" s="7">
        <v>711</v>
      </c>
    </row>
    <row r="12" spans="1:13" x14ac:dyDescent="0.25">
      <c r="A12" s="5">
        <v>45470</v>
      </c>
      <c r="B12" s="3" t="s">
        <v>38</v>
      </c>
      <c r="C12" s="6">
        <v>12000</v>
      </c>
      <c r="D12" s="3" t="s">
        <v>7</v>
      </c>
      <c r="E12" s="6"/>
      <c r="M12" s="7">
        <v>6730</v>
      </c>
    </row>
    <row r="13" spans="1:13" x14ac:dyDescent="0.25">
      <c r="A13" s="5">
        <v>45470</v>
      </c>
      <c r="B13" s="3" t="s">
        <v>33</v>
      </c>
      <c r="C13" s="6">
        <v>75</v>
      </c>
      <c r="D13" s="3" t="s">
        <v>9</v>
      </c>
      <c r="E13" s="6"/>
      <c r="M13" s="7">
        <v>1164.7</v>
      </c>
    </row>
    <row r="14" spans="1:13" x14ac:dyDescent="0.25">
      <c r="A14" s="5">
        <v>45470</v>
      </c>
      <c r="B14" s="3" t="s">
        <v>39</v>
      </c>
      <c r="C14" s="6">
        <v>6425</v>
      </c>
      <c r="D14" s="3" t="s">
        <v>16</v>
      </c>
      <c r="E14" s="6"/>
      <c r="M14" s="7">
        <v>986</v>
      </c>
    </row>
    <row r="15" spans="1:13" x14ac:dyDescent="0.25">
      <c r="A15" s="5">
        <v>45470</v>
      </c>
      <c r="B15" s="3" t="s">
        <v>33</v>
      </c>
      <c r="C15" s="6">
        <v>90</v>
      </c>
      <c r="D15" s="3" t="s">
        <v>9</v>
      </c>
      <c r="E15" s="6"/>
      <c r="M15" s="7">
        <v>340</v>
      </c>
    </row>
    <row r="16" spans="1:13" x14ac:dyDescent="0.25">
      <c r="A16" s="5">
        <v>45470</v>
      </c>
      <c r="B16" s="3" t="s">
        <v>40</v>
      </c>
      <c r="C16" s="6">
        <v>10000</v>
      </c>
      <c r="D16" s="3" t="s">
        <v>7</v>
      </c>
      <c r="E16" s="6" t="s">
        <v>41</v>
      </c>
      <c r="M16" s="7">
        <v>792</v>
      </c>
    </row>
    <row r="17" spans="1:13" x14ac:dyDescent="0.25">
      <c r="A17" s="5">
        <v>45470</v>
      </c>
      <c r="B17" s="3" t="s">
        <v>12</v>
      </c>
      <c r="C17" s="6">
        <v>1050</v>
      </c>
      <c r="D17" s="3" t="s">
        <v>7</v>
      </c>
      <c r="E17" s="6" t="s">
        <v>11</v>
      </c>
      <c r="I17" s="10">
        <f>M29-E19</f>
        <v>1145</v>
      </c>
      <c r="M17" s="7">
        <v>3000</v>
      </c>
    </row>
    <row r="18" spans="1:13" x14ac:dyDescent="0.25">
      <c r="A18" s="5">
        <v>45470</v>
      </c>
      <c r="B18" s="3" t="s">
        <v>10</v>
      </c>
      <c r="C18" s="6">
        <v>1435</v>
      </c>
      <c r="D18" s="3" t="s">
        <v>7</v>
      </c>
      <c r="E18" s="6" t="s">
        <v>11</v>
      </c>
      <c r="M18" s="7">
        <v>1910</v>
      </c>
    </row>
    <row r="19" spans="1:13" x14ac:dyDescent="0.25">
      <c r="A19" s="5">
        <v>45470</v>
      </c>
      <c r="B19" s="3" t="s">
        <v>33</v>
      </c>
      <c r="C19" s="6">
        <v>44572.1</v>
      </c>
      <c r="D19" s="3" t="s">
        <v>7</v>
      </c>
      <c r="E19" s="6">
        <v>43427.1</v>
      </c>
      <c r="M19" s="7">
        <v>1855</v>
      </c>
    </row>
    <row r="20" spans="1:13" x14ac:dyDescent="0.25">
      <c r="A20" s="5">
        <v>45470</v>
      </c>
      <c r="B20" s="3" t="s">
        <v>33</v>
      </c>
      <c r="C20" s="6">
        <v>415</v>
      </c>
      <c r="D20" s="3" t="s">
        <v>9</v>
      </c>
      <c r="E20" s="6"/>
      <c r="M20" s="7">
        <v>10430</v>
      </c>
    </row>
    <row r="21" spans="1:13" x14ac:dyDescent="0.25">
      <c r="A21" s="5">
        <v>45470</v>
      </c>
      <c r="B21" s="3" t="s">
        <v>42</v>
      </c>
      <c r="C21" s="6">
        <v>3338.75</v>
      </c>
      <c r="D21" s="3" t="s">
        <v>7</v>
      </c>
      <c r="E21" s="6"/>
      <c r="M21" s="7">
        <v>3522.8</v>
      </c>
    </row>
    <row r="22" spans="1:13" x14ac:dyDescent="0.25">
      <c r="A22" s="5">
        <v>45471</v>
      </c>
      <c r="B22" s="3" t="s">
        <v>43</v>
      </c>
      <c r="C22" s="6">
        <v>3058</v>
      </c>
      <c r="D22" s="3" t="s">
        <v>7</v>
      </c>
      <c r="E22" s="6"/>
      <c r="M22" s="7">
        <v>172</v>
      </c>
    </row>
    <row r="23" spans="1:13" x14ac:dyDescent="0.25">
      <c r="A23" s="5">
        <v>45471</v>
      </c>
      <c r="B23" s="3" t="s">
        <v>8</v>
      </c>
      <c r="C23" s="6">
        <v>65</v>
      </c>
      <c r="D23" s="3" t="s">
        <v>9</v>
      </c>
      <c r="E23" s="6"/>
      <c r="M23" s="7">
        <v>560</v>
      </c>
    </row>
    <row r="24" spans="1:13" x14ac:dyDescent="0.25">
      <c r="A24" s="5">
        <v>45471</v>
      </c>
      <c r="B24" s="3" t="s">
        <v>44</v>
      </c>
      <c r="C24" s="6">
        <v>1205.75</v>
      </c>
      <c r="D24" s="3" t="s">
        <v>7</v>
      </c>
      <c r="E24" s="6"/>
      <c r="M24" s="7">
        <v>3750</v>
      </c>
    </row>
    <row r="25" spans="1:13" x14ac:dyDescent="0.25">
      <c r="A25" s="5">
        <v>45471</v>
      </c>
      <c r="B25" s="3" t="s">
        <v>19</v>
      </c>
      <c r="C25" s="6">
        <v>60</v>
      </c>
      <c r="D25" s="3" t="s">
        <v>9</v>
      </c>
      <c r="E25" s="6"/>
      <c r="M25" s="7">
        <v>600</v>
      </c>
    </row>
    <row r="26" spans="1:13" x14ac:dyDescent="0.25">
      <c r="A26" s="5">
        <v>45471</v>
      </c>
      <c r="B26" s="3" t="s">
        <v>20</v>
      </c>
      <c r="C26" s="6">
        <v>2900</v>
      </c>
      <c r="D26" s="3" t="s">
        <v>7</v>
      </c>
      <c r="E26" s="6"/>
      <c r="M26" s="7">
        <v>400</v>
      </c>
    </row>
    <row r="27" spans="1:13" x14ac:dyDescent="0.25">
      <c r="A27" s="5">
        <v>45471</v>
      </c>
      <c r="B27" s="3" t="s">
        <v>21</v>
      </c>
      <c r="C27" s="6">
        <v>1860</v>
      </c>
      <c r="D27" s="3" t="s">
        <v>7</v>
      </c>
      <c r="E27" s="6" t="s">
        <v>11</v>
      </c>
      <c r="M27" s="7">
        <v>4303.6000000000004</v>
      </c>
    </row>
    <row r="28" spans="1:13" x14ac:dyDescent="0.25">
      <c r="A28" s="5">
        <v>45471</v>
      </c>
      <c r="B28" s="3" t="s">
        <v>45</v>
      </c>
      <c r="C28" s="6">
        <v>1150</v>
      </c>
      <c r="D28" s="3" t="s">
        <v>7</v>
      </c>
      <c r="E28" s="6"/>
      <c r="M28" s="7">
        <v>1000</v>
      </c>
    </row>
    <row r="29" spans="1:13" x14ac:dyDescent="0.25">
      <c r="A29" s="5">
        <v>45471</v>
      </c>
      <c r="B29" s="3" t="s">
        <v>23</v>
      </c>
      <c r="C29" s="6">
        <v>1250</v>
      </c>
      <c r="D29" s="3" t="s">
        <v>46</v>
      </c>
      <c r="E29" s="6"/>
      <c r="M29" s="9">
        <f>SUM(M7:M28)</f>
        <v>44572.1</v>
      </c>
    </row>
    <row r="30" spans="1:13" x14ac:dyDescent="0.25">
      <c r="A30" s="5">
        <v>45472</v>
      </c>
      <c r="B30" s="3" t="s">
        <v>47</v>
      </c>
      <c r="C30" s="6">
        <v>8958</v>
      </c>
      <c r="D30" s="3" t="s">
        <v>48</v>
      </c>
      <c r="E30" s="6"/>
    </row>
    <row r="31" spans="1:13" x14ac:dyDescent="0.25">
      <c r="A31" s="5">
        <v>45472</v>
      </c>
      <c r="B31" s="3" t="s">
        <v>33</v>
      </c>
      <c r="C31" s="6">
        <v>35</v>
      </c>
      <c r="D31" s="3" t="s">
        <v>9</v>
      </c>
      <c r="E31" s="6"/>
    </row>
    <row r="32" spans="1:13" x14ac:dyDescent="0.25">
      <c r="A32" s="5">
        <v>45474</v>
      </c>
      <c r="B32" s="3" t="s">
        <v>44</v>
      </c>
      <c r="C32" s="6">
        <v>748</v>
      </c>
      <c r="D32" s="3" t="s">
        <v>7</v>
      </c>
      <c r="E32" s="6"/>
    </row>
    <row r="33" spans="1:5" x14ac:dyDescent="0.25">
      <c r="A33" s="5">
        <v>45474</v>
      </c>
      <c r="B33" s="3" t="s">
        <v>49</v>
      </c>
      <c r="C33" s="6">
        <v>2161</v>
      </c>
      <c r="D33" s="3" t="s">
        <v>7</v>
      </c>
      <c r="E33" s="6"/>
    </row>
    <row r="34" spans="1:5" x14ac:dyDescent="0.25">
      <c r="A34" s="5">
        <v>45474</v>
      </c>
      <c r="B34" s="3" t="s">
        <v>8</v>
      </c>
      <c r="C34" s="6">
        <v>70</v>
      </c>
      <c r="D34" s="3" t="s">
        <v>9</v>
      </c>
      <c r="E34" s="6"/>
    </row>
    <row r="35" spans="1:5" x14ac:dyDescent="0.25">
      <c r="A35" s="5">
        <v>45474</v>
      </c>
      <c r="B35" s="3" t="s">
        <v>43</v>
      </c>
      <c r="C35" s="6">
        <v>6524</v>
      </c>
      <c r="D35" s="3" t="s">
        <v>7</v>
      </c>
      <c r="E35" s="6"/>
    </row>
    <row r="36" spans="1:5" x14ac:dyDescent="0.25">
      <c r="A36" s="5">
        <v>45474</v>
      </c>
      <c r="B36" s="3" t="s">
        <v>8</v>
      </c>
      <c r="C36" s="6">
        <v>75</v>
      </c>
      <c r="D36" s="3" t="s">
        <v>9</v>
      </c>
      <c r="E36" s="6"/>
    </row>
    <row r="37" spans="1:5" x14ac:dyDescent="0.25">
      <c r="A37" s="5">
        <v>45475</v>
      </c>
      <c r="B37" s="3" t="s">
        <v>10</v>
      </c>
      <c r="C37" s="6">
        <v>525</v>
      </c>
      <c r="D37" s="3" t="s">
        <v>7</v>
      </c>
      <c r="E37" s="6" t="s">
        <v>11</v>
      </c>
    </row>
    <row r="38" spans="1:5" x14ac:dyDescent="0.25">
      <c r="A38" s="5">
        <v>45475</v>
      </c>
      <c r="B38" s="3" t="s">
        <v>50</v>
      </c>
      <c r="C38" s="6">
        <v>1260</v>
      </c>
      <c r="D38" s="3" t="s">
        <v>7</v>
      </c>
      <c r="E38" s="6"/>
    </row>
    <row r="39" spans="1:5" x14ac:dyDescent="0.25">
      <c r="A39" s="5">
        <v>45475</v>
      </c>
      <c r="B39" s="3" t="s">
        <v>8</v>
      </c>
      <c r="C39" s="6">
        <v>60</v>
      </c>
      <c r="D39" s="3" t="s">
        <v>9</v>
      </c>
      <c r="E39" s="6"/>
    </row>
    <row r="40" spans="1:5" x14ac:dyDescent="0.25">
      <c r="A40" s="5">
        <v>45475</v>
      </c>
      <c r="B40" s="3" t="s">
        <v>6</v>
      </c>
      <c r="C40" s="6">
        <v>2688</v>
      </c>
      <c r="D40" s="3" t="s">
        <v>7</v>
      </c>
      <c r="E40" s="6"/>
    </row>
    <row r="41" spans="1:5" x14ac:dyDescent="0.25">
      <c r="A41" s="5">
        <v>45475</v>
      </c>
      <c r="B41" s="3" t="s">
        <v>8</v>
      </c>
      <c r="C41" s="6">
        <v>55</v>
      </c>
      <c r="D41" s="3" t="s">
        <v>9</v>
      </c>
      <c r="E41" s="6"/>
    </row>
    <row r="42" spans="1:5" x14ac:dyDescent="0.25">
      <c r="A42" s="5">
        <v>45475</v>
      </c>
      <c r="B42" s="3" t="s">
        <v>51</v>
      </c>
      <c r="C42" s="6">
        <v>4445</v>
      </c>
      <c r="D42" s="3" t="s">
        <v>7</v>
      </c>
      <c r="E42" s="6"/>
    </row>
    <row r="43" spans="1:5" x14ac:dyDescent="0.25">
      <c r="A43" s="5">
        <v>45475</v>
      </c>
      <c r="B43" s="3" t="s">
        <v>52</v>
      </c>
      <c r="C43" s="6">
        <v>13674</v>
      </c>
      <c r="D43" s="3" t="s">
        <v>7</v>
      </c>
      <c r="E43" s="6"/>
    </row>
    <row r="44" spans="1:5" x14ac:dyDescent="0.25">
      <c r="A44" s="5">
        <v>45475</v>
      </c>
      <c r="B44" s="3" t="s">
        <v>33</v>
      </c>
      <c r="C44" s="6">
        <v>75</v>
      </c>
      <c r="D44" s="3" t="s">
        <v>9</v>
      </c>
      <c r="E44" s="6"/>
    </row>
    <row r="45" spans="1:5" x14ac:dyDescent="0.25">
      <c r="A45" s="5">
        <v>45475</v>
      </c>
      <c r="B45" s="3" t="s">
        <v>18</v>
      </c>
      <c r="C45" s="6">
        <v>4500</v>
      </c>
      <c r="D45" s="3" t="s">
        <v>7</v>
      </c>
      <c r="E45" s="6"/>
    </row>
    <row r="46" spans="1:5" x14ac:dyDescent="0.25">
      <c r="A46" s="5">
        <v>45475</v>
      </c>
      <c r="B46" s="3" t="s">
        <v>53</v>
      </c>
      <c r="C46" s="6">
        <v>2560</v>
      </c>
      <c r="D46" s="3" t="s">
        <v>7</v>
      </c>
      <c r="E46" s="6"/>
    </row>
    <row r="47" spans="1:5" x14ac:dyDescent="0.25">
      <c r="A47" s="5">
        <v>45476</v>
      </c>
      <c r="B47" s="3" t="s">
        <v>51</v>
      </c>
      <c r="C47" s="6">
        <v>9034</v>
      </c>
      <c r="D47" s="3" t="s">
        <v>7</v>
      </c>
      <c r="E47" s="6"/>
    </row>
    <row r="48" spans="1:5" x14ac:dyDescent="0.25">
      <c r="A48" s="5">
        <v>45476</v>
      </c>
      <c r="B48" s="3" t="s">
        <v>14</v>
      </c>
      <c r="C48" s="6">
        <v>888</v>
      </c>
      <c r="D48" s="3" t="s">
        <v>7</v>
      </c>
      <c r="E48" s="6"/>
    </row>
    <row r="49" spans="1:9" x14ac:dyDescent="0.25">
      <c r="A49" s="5">
        <v>45476</v>
      </c>
      <c r="B49" s="3" t="s">
        <v>8</v>
      </c>
      <c r="C49" s="6">
        <v>45</v>
      </c>
      <c r="D49" s="3" t="s">
        <v>9</v>
      </c>
      <c r="E49" s="6"/>
    </row>
    <row r="50" spans="1:9" x14ac:dyDescent="0.25">
      <c r="A50" s="5">
        <v>45476</v>
      </c>
      <c r="B50" s="3" t="s">
        <v>44</v>
      </c>
      <c r="C50" s="6">
        <v>12996.75</v>
      </c>
      <c r="D50" s="3" t="s">
        <v>7</v>
      </c>
      <c r="E50" s="6"/>
    </row>
    <row r="51" spans="1:9" x14ac:dyDescent="0.25">
      <c r="A51" s="5">
        <v>45476</v>
      </c>
      <c r="B51" s="3" t="s">
        <v>54</v>
      </c>
      <c r="C51" s="6">
        <v>4643</v>
      </c>
      <c r="D51" s="3" t="s">
        <v>7</v>
      </c>
      <c r="E51" s="6"/>
    </row>
    <row r="52" spans="1:9" x14ac:dyDescent="0.25">
      <c r="A52" s="5">
        <v>45476</v>
      </c>
      <c r="B52" s="3" t="s">
        <v>8</v>
      </c>
      <c r="C52" s="6">
        <v>65</v>
      </c>
      <c r="D52" s="3" t="s">
        <v>9</v>
      </c>
      <c r="E52" s="6"/>
    </row>
    <row r="53" spans="1:9" x14ac:dyDescent="0.25">
      <c r="A53" s="5">
        <v>45476</v>
      </c>
      <c r="B53" s="3" t="s">
        <v>17</v>
      </c>
      <c r="C53" s="6">
        <v>261</v>
      </c>
      <c r="D53" s="3" t="s">
        <v>16</v>
      </c>
      <c r="E53" s="6"/>
    </row>
    <row r="54" spans="1:9" x14ac:dyDescent="0.25">
      <c r="A54" s="5">
        <v>45477</v>
      </c>
      <c r="B54" s="3" t="s">
        <v>55</v>
      </c>
      <c r="C54" s="6">
        <v>1250.8</v>
      </c>
      <c r="D54" s="3" t="s">
        <v>7</v>
      </c>
      <c r="E54" s="6"/>
      <c r="I54" s="10"/>
    </row>
    <row r="55" spans="1:9" x14ac:dyDescent="0.25">
      <c r="A55" s="5">
        <v>45477</v>
      </c>
      <c r="B55" s="3" t="s">
        <v>8</v>
      </c>
      <c r="C55" s="6">
        <v>60</v>
      </c>
      <c r="D55" s="3" t="s">
        <v>9</v>
      </c>
      <c r="E55" s="6"/>
    </row>
    <row r="56" spans="1:9" x14ac:dyDescent="0.25">
      <c r="A56" s="5">
        <v>45477</v>
      </c>
      <c r="B56" s="3" t="s">
        <v>56</v>
      </c>
      <c r="C56" s="6">
        <v>8850</v>
      </c>
      <c r="D56" s="3" t="s">
        <v>7</v>
      </c>
      <c r="E56" s="6"/>
    </row>
    <row r="57" spans="1:9" x14ac:dyDescent="0.25">
      <c r="A57" s="3"/>
      <c r="B57" s="1" t="s">
        <v>24</v>
      </c>
      <c r="C57" s="2">
        <f>SUM(C2:C56)</f>
        <v>206523.74</v>
      </c>
      <c r="D57" s="3"/>
      <c r="E57" s="6"/>
    </row>
    <row r="58" spans="1:9" x14ac:dyDescent="0.25">
      <c r="C58" s="7"/>
    </row>
    <row r="59" spans="1:9" x14ac:dyDescent="0.25">
      <c r="C59" s="7"/>
    </row>
    <row r="60" spans="1:9" x14ac:dyDescent="0.25">
      <c r="B60" s="8" t="s">
        <v>25</v>
      </c>
      <c r="C60" s="7"/>
    </row>
    <row r="61" spans="1:9" x14ac:dyDescent="0.25">
      <c r="B61" s="8" t="s">
        <v>26</v>
      </c>
      <c r="C61" s="7"/>
    </row>
    <row r="62" spans="1:9" x14ac:dyDescent="0.25">
      <c r="B62" s="8" t="s">
        <v>27</v>
      </c>
      <c r="C62" s="7"/>
    </row>
    <row r="63" spans="1:9" x14ac:dyDescent="0.25">
      <c r="B63" s="8" t="s">
        <v>28</v>
      </c>
      <c r="C63" s="7"/>
    </row>
    <row r="64" spans="1:9" x14ac:dyDescent="0.25">
      <c r="B64" s="8" t="s">
        <v>29</v>
      </c>
      <c r="C64" s="7"/>
    </row>
    <row r="65" spans="2:3" x14ac:dyDescent="0.25">
      <c r="B65" s="8" t="s">
        <v>30</v>
      </c>
      <c r="C65" s="7"/>
    </row>
    <row r="66" spans="2:3" x14ac:dyDescent="0.25">
      <c r="B66" s="8" t="s">
        <v>31</v>
      </c>
      <c r="C66" s="7"/>
    </row>
    <row r="67" spans="2:3" x14ac:dyDescent="0.25">
      <c r="B67" s="8" t="s">
        <v>24</v>
      </c>
      <c r="C67" s="9">
        <v>86647.85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4665-9318-4C89-A91C-6C41C6E8754D}">
  <dimension ref="A1:M68"/>
  <sheetViews>
    <sheetView tabSelected="1" topLeftCell="A40" workbookViewId="0">
      <selection activeCell="I55" sqref="I55"/>
    </sheetView>
  </sheetViews>
  <sheetFormatPr defaultRowHeight="15" x14ac:dyDescent="0.25"/>
  <cols>
    <col min="1" max="1" width="14.140625" customWidth="1"/>
    <col min="2" max="2" width="27.7109375" customWidth="1"/>
    <col min="3" max="4" width="17.140625" customWidth="1"/>
    <col min="5" max="5" width="15.5703125" style="7" customWidth="1"/>
    <col min="9" max="9" width="11.57031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13" x14ac:dyDescent="0.25">
      <c r="A2" s="5">
        <v>45470</v>
      </c>
      <c r="B2" s="3" t="s">
        <v>37</v>
      </c>
      <c r="C2" s="6">
        <v>5000</v>
      </c>
      <c r="D2" s="3" t="s">
        <v>13</v>
      </c>
      <c r="E2" s="6"/>
    </row>
    <row r="3" spans="1:13" x14ac:dyDescent="0.25">
      <c r="A3" s="5">
        <v>45470</v>
      </c>
      <c r="B3" s="3" t="s">
        <v>39</v>
      </c>
      <c r="C3" s="6">
        <v>6425</v>
      </c>
      <c r="D3" s="3" t="s">
        <v>16</v>
      </c>
      <c r="E3" s="6"/>
    </row>
    <row r="4" spans="1:13" x14ac:dyDescent="0.25">
      <c r="A4" s="5">
        <v>45476</v>
      </c>
      <c r="B4" s="3" t="s">
        <v>17</v>
      </c>
      <c r="C4" s="6">
        <v>261</v>
      </c>
      <c r="D4" s="3" t="s">
        <v>16</v>
      </c>
      <c r="E4" s="6"/>
    </row>
    <row r="5" spans="1:13" x14ac:dyDescent="0.25">
      <c r="A5" s="5">
        <v>45472</v>
      </c>
      <c r="B5" s="3" t="s">
        <v>47</v>
      </c>
      <c r="C5" s="6">
        <v>8958</v>
      </c>
      <c r="D5" s="3" t="s">
        <v>48</v>
      </c>
      <c r="E5" s="6"/>
    </row>
    <row r="6" spans="1:13" x14ac:dyDescent="0.25">
      <c r="A6" s="5">
        <v>45470</v>
      </c>
      <c r="B6" s="3" t="s">
        <v>33</v>
      </c>
      <c r="C6" s="6">
        <v>135</v>
      </c>
      <c r="D6" s="3" t="s">
        <v>9</v>
      </c>
      <c r="E6" s="6"/>
    </row>
    <row r="7" spans="1:13" x14ac:dyDescent="0.25">
      <c r="A7" s="5">
        <v>45470</v>
      </c>
      <c r="B7" s="3" t="s">
        <v>19</v>
      </c>
      <c r="C7" s="6">
        <v>50</v>
      </c>
      <c r="D7" s="3" t="s">
        <v>9</v>
      </c>
      <c r="E7" s="6"/>
      <c r="M7" s="7">
        <v>1200</v>
      </c>
    </row>
    <row r="8" spans="1:13" x14ac:dyDescent="0.25">
      <c r="A8" s="5">
        <v>45470</v>
      </c>
      <c r="B8" s="3" t="s">
        <v>33</v>
      </c>
      <c r="C8" s="6">
        <v>75</v>
      </c>
      <c r="D8" s="3" t="s">
        <v>9</v>
      </c>
      <c r="E8" s="6"/>
      <c r="M8" s="7">
        <v>130</v>
      </c>
    </row>
    <row r="9" spans="1:13" x14ac:dyDescent="0.25">
      <c r="A9" s="5">
        <v>45470</v>
      </c>
      <c r="B9" s="3" t="s">
        <v>33</v>
      </c>
      <c r="C9" s="6">
        <v>90</v>
      </c>
      <c r="D9" s="3" t="s">
        <v>9</v>
      </c>
      <c r="E9" s="6"/>
      <c r="M9" s="7">
        <v>110</v>
      </c>
    </row>
    <row r="10" spans="1:13" x14ac:dyDescent="0.25">
      <c r="A10" s="5">
        <v>45470</v>
      </c>
      <c r="B10" s="3" t="s">
        <v>33</v>
      </c>
      <c r="C10" s="6">
        <v>415</v>
      </c>
      <c r="D10" s="3" t="s">
        <v>9</v>
      </c>
      <c r="E10" s="6"/>
      <c r="M10" s="7">
        <v>905</v>
      </c>
    </row>
    <row r="11" spans="1:13" x14ac:dyDescent="0.25">
      <c r="A11" s="5">
        <v>45471</v>
      </c>
      <c r="B11" s="3" t="s">
        <v>8</v>
      </c>
      <c r="C11" s="6">
        <v>65</v>
      </c>
      <c r="D11" s="3" t="s">
        <v>9</v>
      </c>
      <c r="E11" s="6"/>
      <c r="M11" s="7">
        <v>711</v>
      </c>
    </row>
    <row r="12" spans="1:13" x14ac:dyDescent="0.25">
      <c r="A12" s="5">
        <v>45471</v>
      </c>
      <c r="B12" s="3" t="s">
        <v>19</v>
      </c>
      <c r="C12" s="6">
        <v>60</v>
      </c>
      <c r="D12" s="3" t="s">
        <v>9</v>
      </c>
      <c r="E12" s="6"/>
      <c r="M12" s="7">
        <v>6730</v>
      </c>
    </row>
    <row r="13" spans="1:13" x14ac:dyDescent="0.25">
      <c r="A13" s="5">
        <v>45472</v>
      </c>
      <c r="B13" s="3" t="s">
        <v>33</v>
      </c>
      <c r="C13" s="6">
        <v>35</v>
      </c>
      <c r="D13" s="3" t="s">
        <v>9</v>
      </c>
      <c r="E13" s="6"/>
      <c r="M13" s="7">
        <v>1164.7</v>
      </c>
    </row>
    <row r="14" spans="1:13" x14ac:dyDescent="0.25">
      <c r="A14" s="5">
        <v>45474</v>
      </c>
      <c r="B14" s="3" t="s">
        <v>8</v>
      </c>
      <c r="C14" s="6">
        <v>70</v>
      </c>
      <c r="D14" s="3" t="s">
        <v>9</v>
      </c>
      <c r="E14" s="6"/>
      <c r="M14" s="7">
        <v>986</v>
      </c>
    </row>
    <row r="15" spans="1:13" x14ac:dyDescent="0.25">
      <c r="A15" s="5">
        <v>45474</v>
      </c>
      <c r="B15" s="3" t="s">
        <v>8</v>
      </c>
      <c r="C15" s="6">
        <v>75</v>
      </c>
      <c r="D15" s="3" t="s">
        <v>9</v>
      </c>
      <c r="E15" s="6"/>
      <c r="M15" s="7">
        <v>340</v>
      </c>
    </row>
    <row r="16" spans="1:13" x14ac:dyDescent="0.25">
      <c r="A16" s="5">
        <v>45475</v>
      </c>
      <c r="B16" s="3" t="s">
        <v>8</v>
      </c>
      <c r="C16" s="6">
        <v>60</v>
      </c>
      <c r="D16" s="3" t="s">
        <v>9</v>
      </c>
      <c r="E16" s="6"/>
      <c r="M16" s="7">
        <v>792</v>
      </c>
    </row>
    <row r="17" spans="1:13" x14ac:dyDescent="0.25">
      <c r="A17" s="5">
        <v>45475</v>
      </c>
      <c r="B17" s="3" t="s">
        <v>8</v>
      </c>
      <c r="C17" s="6">
        <v>55</v>
      </c>
      <c r="D17" s="3" t="s">
        <v>9</v>
      </c>
      <c r="E17" s="6"/>
      <c r="I17" s="10"/>
      <c r="M17" s="7">
        <v>3000</v>
      </c>
    </row>
    <row r="18" spans="1:13" x14ac:dyDescent="0.25">
      <c r="A18" s="5">
        <v>45475</v>
      </c>
      <c r="B18" s="3" t="s">
        <v>33</v>
      </c>
      <c r="C18" s="6">
        <v>75</v>
      </c>
      <c r="D18" s="3" t="s">
        <v>9</v>
      </c>
      <c r="E18" s="6"/>
      <c r="M18" s="7">
        <v>1910</v>
      </c>
    </row>
    <row r="19" spans="1:13" x14ac:dyDescent="0.25">
      <c r="A19" s="5">
        <v>45476</v>
      </c>
      <c r="B19" s="3" t="s">
        <v>8</v>
      </c>
      <c r="C19" s="6">
        <v>45</v>
      </c>
      <c r="D19" s="3" t="s">
        <v>9</v>
      </c>
      <c r="E19" s="6"/>
      <c r="M19" s="7">
        <v>1855</v>
      </c>
    </row>
    <row r="20" spans="1:13" x14ac:dyDescent="0.25">
      <c r="A20" s="5">
        <v>45476</v>
      </c>
      <c r="B20" s="3" t="s">
        <v>8</v>
      </c>
      <c r="C20" s="6">
        <v>65</v>
      </c>
      <c r="D20" s="3" t="s">
        <v>9</v>
      </c>
      <c r="E20" s="6"/>
      <c r="M20" s="7">
        <v>10430</v>
      </c>
    </row>
    <row r="21" spans="1:13" x14ac:dyDescent="0.25">
      <c r="A21" s="5">
        <v>45477</v>
      </c>
      <c r="B21" s="3" t="s">
        <v>8</v>
      </c>
      <c r="C21" s="6">
        <v>60</v>
      </c>
      <c r="D21" s="3" t="s">
        <v>9</v>
      </c>
      <c r="E21" s="6"/>
      <c r="M21" s="7">
        <v>3522.8</v>
      </c>
    </row>
    <row r="22" spans="1:13" x14ac:dyDescent="0.25">
      <c r="A22" s="5">
        <v>45471</v>
      </c>
      <c r="B22" s="3" t="s">
        <v>23</v>
      </c>
      <c r="C22" s="6">
        <v>1250</v>
      </c>
      <c r="D22" s="3" t="s">
        <v>46</v>
      </c>
      <c r="E22" s="6"/>
      <c r="M22" s="7">
        <v>172</v>
      </c>
    </row>
    <row r="23" spans="1:13" x14ac:dyDescent="0.25">
      <c r="A23" s="5">
        <v>45470</v>
      </c>
      <c r="B23" s="3" t="s">
        <v>32</v>
      </c>
      <c r="C23" s="6">
        <v>9408</v>
      </c>
      <c r="D23" s="3" t="s">
        <v>7</v>
      </c>
      <c r="E23" s="6"/>
      <c r="M23" s="7">
        <v>560</v>
      </c>
    </row>
    <row r="24" spans="1:13" x14ac:dyDescent="0.25">
      <c r="A24" s="5">
        <v>45470</v>
      </c>
      <c r="B24" s="3" t="s">
        <v>15</v>
      </c>
      <c r="C24" s="6">
        <v>3740</v>
      </c>
      <c r="D24" s="3" t="s">
        <v>7</v>
      </c>
      <c r="E24" s="6" t="s">
        <v>11</v>
      </c>
      <c r="M24" s="7">
        <v>3750</v>
      </c>
    </row>
    <row r="25" spans="1:13" x14ac:dyDescent="0.25">
      <c r="A25" s="5">
        <v>45470</v>
      </c>
      <c r="B25" s="3" t="s">
        <v>34</v>
      </c>
      <c r="C25" s="6">
        <v>2000</v>
      </c>
      <c r="D25" s="3" t="s">
        <v>7</v>
      </c>
      <c r="E25" s="6"/>
      <c r="M25" s="7">
        <v>600</v>
      </c>
    </row>
    <row r="26" spans="1:13" x14ac:dyDescent="0.25">
      <c r="A26" s="5">
        <v>45470</v>
      </c>
      <c r="B26" s="3" t="s">
        <v>22</v>
      </c>
      <c r="C26" s="6">
        <v>4804</v>
      </c>
      <c r="D26" s="3" t="s">
        <v>7</v>
      </c>
      <c r="E26" s="6" t="s">
        <v>11</v>
      </c>
      <c r="M26" s="7">
        <v>400</v>
      </c>
    </row>
    <row r="27" spans="1:13" x14ac:dyDescent="0.25">
      <c r="A27" s="5">
        <v>45470</v>
      </c>
      <c r="B27" s="3" t="s">
        <v>35</v>
      </c>
      <c r="C27" s="6">
        <v>600</v>
      </c>
      <c r="D27" s="3" t="s">
        <v>7</v>
      </c>
      <c r="E27" s="6" t="s">
        <v>11</v>
      </c>
      <c r="M27" s="7">
        <v>4303.6000000000004</v>
      </c>
    </row>
    <row r="28" spans="1:13" x14ac:dyDescent="0.25">
      <c r="A28" s="5">
        <v>45470</v>
      </c>
      <c r="B28" s="3" t="s">
        <v>36</v>
      </c>
      <c r="C28" s="6">
        <v>3135</v>
      </c>
      <c r="D28" s="3" t="s">
        <v>7</v>
      </c>
      <c r="E28" s="6"/>
      <c r="M28" s="7">
        <v>1000</v>
      </c>
    </row>
    <row r="29" spans="1:13" x14ac:dyDescent="0.25">
      <c r="A29" s="5">
        <v>45470</v>
      </c>
      <c r="B29" s="3" t="s">
        <v>38</v>
      </c>
      <c r="C29" s="6">
        <v>12000</v>
      </c>
      <c r="D29" s="3" t="s">
        <v>7</v>
      </c>
      <c r="E29" s="6"/>
      <c r="M29" s="9">
        <f>SUM(M7:M28)</f>
        <v>44572.1</v>
      </c>
    </row>
    <row r="30" spans="1:13" x14ac:dyDescent="0.25">
      <c r="A30" s="5">
        <v>45470</v>
      </c>
      <c r="B30" s="3" t="s">
        <v>40</v>
      </c>
      <c r="C30" s="6">
        <v>10000</v>
      </c>
      <c r="D30" s="3" t="s">
        <v>7</v>
      </c>
      <c r="E30" s="6" t="s">
        <v>41</v>
      </c>
    </row>
    <row r="31" spans="1:13" x14ac:dyDescent="0.25">
      <c r="A31" s="5">
        <v>45470</v>
      </c>
      <c r="B31" s="3" t="s">
        <v>12</v>
      </c>
      <c r="C31" s="6">
        <v>1050</v>
      </c>
      <c r="D31" s="3" t="s">
        <v>7</v>
      </c>
      <c r="E31" s="6" t="s">
        <v>11</v>
      </c>
    </row>
    <row r="32" spans="1:13" x14ac:dyDescent="0.25">
      <c r="A32" s="5">
        <v>45470</v>
      </c>
      <c r="B32" s="3" t="s">
        <v>10</v>
      </c>
      <c r="C32" s="6">
        <v>1435</v>
      </c>
      <c r="D32" s="3" t="s">
        <v>7</v>
      </c>
      <c r="E32" s="6" t="s">
        <v>11</v>
      </c>
    </row>
    <row r="33" spans="1:5" x14ac:dyDescent="0.25">
      <c r="A33" s="5">
        <v>45470</v>
      </c>
      <c r="B33" s="3" t="s">
        <v>33</v>
      </c>
      <c r="C33" s="6">
        <v>44572.1</v>
      </c>
      <c r="D33" s="3" t="s">
        <v>7</v>
      </c>
      <c r="E33" s="6">
        <v>43427.1</v>
      </c>
    </row>
    <row r="34" spans="1:5" x14ac:dyDescent="0.25">
      <c r="A34" s="5">
        <v>45470</v>
      </c>
      <c r="B34" s="3" t="s">
        <v>42</v>
      </c>
      <c r="C34" s="6">
        <v>3338.75</v>
      </c>
      <c r="D34" s="3" t="s">
        <v>7</v>
      </c>
      <c r="E34" s="6"/>
    </row>
    <row r="35" spans="1:5" x14ac:dyDescent="0.25">
      <c r="A35" s="5">
        <v>45471</v>
      </c>
      <c r="B35" s="3" t="s">
        <v>43</v>
      </c>
      <c r="C35" s="6">
        <v>3058</v>
      </c>
      <c r="D35" s="3" t="s">
        <v>7</v>
      </c>
      <c r="E35" s="6"/>
    </row>
    <row r="36" spans="1:5" x14ac:dyDescent="0.25">
      <c r="A36" s="5">
        <v>45471</v>
      </c>
      <c r="B36" s="3" t="s">
        <v>44</v>
      </c>
      <c r="C36" s="6">
        <v>1205.75</v>
      </c>
      <c r="D36" s="3" t="s">
        <v>7</v>
      </c>
      <c r="E36" s="6"/>
    </row>
    <row r="37" spans="1:5" x14ac:dyDescent="0.25">
      <c r="A37" s="5">
        <v>45471</v>
      </c>
      <c r="B37" s="3" t="s">
        <v>20</v>
      </c>
      <c r="C37" s="6">
        <v>2900</v>
      </c>
      <c r="D37" s="3" t="s">
        <v>7</v>
      </c>
      <c r="E37" s="6"/>
    </row>
    <row r="38" spans="1:5" x14ac:dyDescent="0.25">
      <c r="A38" s="5">
        <v>45471</v>
      </c>
      <c r="B38" s="3" t="s">
        <v>21</v>
      </c>
      <c r="C38" s="6">
        <v>1860</v>
      </c>
      <c r="D38" s="3" t="s">
        <v>7</v>
      </c>
      <c r="E38" s="6" t="s">
        <v>11</v>
      </c>
    </row>
    <row r="39" spans="1:5" x14ac:dyDescent="0.25">
      <c r="A39" s="5">
        <v>45471</v>
      </c>
      <c r="B39" s="3" t="s">
        <v>45</v>
      </c>
      <c r="C39" s="6">
        <v>1150</v>
      </c>
      <c r="D39" s="3" t="s">
        <v>7</v>
      </c>
      <c r="E39" s="6"/>
    </row>
    <row r="40" spans="1:5" x14ac:dyDescent="0.25">
      <c r="A40" s="5">
        <v>45474</v>
      </c>
      <c r="B40" s="3" t="s">
        <v>44</v>
      </c>
      <c r="C40" s="6">
        <v>748</v>
      </c>
      <c r="D40" s="3" t="s">
        <v>7</v>
      </c>
      <c r="E40" s="6"/>
    </row>
    <row r="41" spans="1:5" x14ac:dyDescent="0.25">
      <c r="A41" s="5">
        <v>45474</v>
      </c>
      <c r="B41" s="3" t="s">
        <v>49</v>
      </c>
      <c r="C41" s="6">
        <v>2161</v>
      </c>
      <c r="D41" s="3" t="s">
        <v>7</v>
      </c>
      <c r="E41" s="6"/>
    </row>
    <row r="42" spans="1:5" x14ac:dyDescent="0.25">
      <c r="A42" s="5">
        <v>45474</v>
      </c>
      <c r="B42" s="3" t="s">
        <v>43</v>
      </c>
      <c r="C42" s="6">
        <v>6524</v>
      </c>
      <c r="D42" s="3" t="s">
        <v>7</v>
      </c>
      <c r="E42" s="6"/>
    </row>
    <row r="43" spans="1:5" x14ac:dyDescent="0.25">
      <c r="A43" s="5">
        <v>45475</v>
      </c>
      <c r="B43" s="3" t="s">
        <v>10</v>
      </c>
      <c r="C43" s="6">
        <v>525</v>
      </c>
      <c r="D43" s="3" t="s">
        <v>7</v>
      </c>
      <c r="E43" s="6" t="s">
        <v>11</v>
      </c>
    </row>
    <row r="44" spans="1:5" x14ac:dyDescent="0.25">
      <c r="A44" s="5">
        <v>45475</v>
      </c>
      <c r="B44" s="3" t="s">
        <v>50</v>
      </c>
      <c r="C44" s="6">
        <v>1260</v>
      </c>
      <c r="D44" s="3" t="s">
        <v>7</v>
      </c>
      <c r="E44" s="6"/>
    </row>
    <row r="45" spans="1:5" x14ac:dyDescent="0.25">
      <c r="A45" s="5">
        <v>45475</v>
      </c>
      <c r="B45" s="3" t="s">
        <v>6</v>
      </c>
      <c r="C45" s="6">
        <v>2688</v>
      </c>
      <c r="D45" s="3" t="s">
        <v>7</v>
      </c>
      <c r="E45" s="6"/>
    </row>
    <row r="46" spans="1:5" x14ac:dyDescent="0.25">
      <c r="A46" s="5">
        <v>45475</v>
      </c>
      <c r="B46" s="3" t="s">
        <v>51</v>
      </c>
      <c r="C46" s="6">
        <v>4445</v>
      </c>
      <c r="D46" s="3" t="s">
        <v>7</v>
      </c>
      <c r="E46" s="6"/>
    </row>
    <row r="47" spans="1:5" x14ac:dyDescent="0.25">
      <c r="A47" s="5">
        <v>45475</v>
      </c>
      <c r="B47" s="3" t="s">
        <v>52</v>
      </c>
      <c r="C47" s="6">
        <v>13674</v>
      </c>
      <c r="D47" s="3" t="s">
        <v>7</v>
      </c>
      <c r="E47" s="6"/>
    </row>
    <row r="48" spans="1:5" x14ac:dyDescent="0.25">
      <c r="A48" s="5">
        <v>45475</v>
      </c>
      <c r="B48" s="3" t="s">
        <v>18</v>
      </c>
      <c r="C48" s="6">
        <v>4500</v>
      </c>
      <c r="D48" s="3" t="s">
        <v>7</v>
      </c>
      <c r="E48" s="6"/>
    </row>
    <row r="49" spans="1:9" x14ac:dyDescent="0.25">
      <c r="A49" s="5">
        <v>45475</v>
      </c>
      <c r="B49" s="3" t="s">
        <v>53</v>
      </c>
      <c r="C49" s="6">
        <v>2560</v>
      </c>
      <c r="D49" s="3" t="s">
        <v>7</v>
      </c>
      <c r="E49" s="6"/>
    </row>
    <row r="50" spans="1:9" x14ac:dyDescent="0.25">
      <c r="A50" s="5">
        <v>45476</v>
      </c>
      <c r="B50" s="3" t="s">
        <v>51</v>
      </c>
      <c r="C50" s="6">
        <v>9034</v>
      </c>
      <c r="D50" s="3" t="s">
        <v>7</v>
      </c>
      <c r="E50" s="6"/>
    </row>
    <row r="51" spans="1:9" x14ac:dyDescent="0.25">
      <c r="A51" s="5">
        <v>45476</v>
      </c>
      <c r="B51" s="3" t="s">
        <v>14</v>
      </c>
      <c r="C51" s="6">
        <v>888</v>
      </c>
      <c r="D51" s="3" t="s">
        <v>7</v>
      </c>
      <c r="E51" s="6"/>
    </row>
    <row r="52" spans="1:9" x14ac:dyDescent="0.25">
      <c r="A52" s="5">
        <v>45476</v>
      </c>
      <c r="B52" s="3" t="s">
        <v>44</v>
      </c>
      <c r="C52" s="6">
        <v>12996.75</v>
      </c>
      <c r="D52" s="3" t="s">
        <v>7</v>
      </c>
      <c r="E52" s="6"/>
    </row>
    <row r="53" spans="1:9" x14ac:dyDescent="0.25">
      <c r="A53" s="5">
        <v>45476</v>
      </c>
      <c r="B53" s="3" t="s">
        <v>54</v>
      </c>
      <c r="C53" s="6">
        <v>4643</v>
      </c>
      <c r="D53" s="3" t="s">
        <v>7</v>
      </c>
      <c r="E53" s="6"/>
    </row>
    <row r="54" spans="1:9" x14ac:dyDescent="0.25">
      <c r="A54" s="5">
        <v>45477</v>
      </c>
      <c r="B54" s="3" t="s">
        <v>55</v>
      </c>
      <c r="C54" s="6">
        <v>1250.8</v>
      </c>
      <c r="D54" s="3" t="s">
        <v>7</v>
      </c>
      <c r="E54" s="6"/>
      <c r="I54" s="10"/>
    </row>
    <row r="55" spans="1:9" x14ac:dyDescent="0.25">
      <c r="A55" s="5">
        <v>45477</v>
      </c>
      <c r="B55" s="3" t="s">
        <v>56</v>
      </c>
      <c r="C55" s="6">
        <v>8850</v>
      </c>
      <c r="D55" s="3" t="s">
        <v>7</v>
      </c>
      <c r="E55" s="6"/>
    </row>
    <row r="56" spans="1:9" x14ac:dyDescent="0.25">
      <c r="A56" s="3"/>
      <c r="B56" s="3" t="s">
        <v>5</v>
      </c>
      <c r="C56" s="4">
        <v>195.59</v>
      </c>
      <c r="D56" s="3"/>
      <c r="E56" s="4"/>
    </row>
    <row r="57" spans="1:9" x14ac:dyDescent="0.25">
      <c r="A57" s="3"/>
      <c r="B57" s="1" t="s">
        <v>24</v>
      </c>
      <c r="C57" s="2">
        <f>SUM(C2:C56)</f>
        <v>206523.74</v>
      </c>
      <c r="D57" s="3"/>
      <c r="E57" s="6"/>
    </row>
    <row r="58" spans="1:9" x14ac:dyDescent="0.25">
      <c r="C58" s="7"/>
    </row>
    <row r="59" spans="1:9" x14ac:dyDescent="0.25">
      <c r="C59" s="7"/>
    </row>
    <row r="60" spans="1:9" x14ac:dyDescent="0.25">
      <c r="B60" s="8" t="s">
        <v>25</v>
      </c>
      <c r="C60" s="7">
        <f>SUM(C23:C55)</f>
        <v>183004.15</v>
      </c>
    </row>
    <row r="61" spans="1:9" x14ac:dyDescent="0.25">
      <c r="B61" s="8" t="s">
        <v>26</v>
      </c>
      <c r="C61" s="7">
        <f>SUM(C6:C21)</f>
        <v>1430</v>
      </c>
    </row>
    <row r="62" spans="1:9" x14ac:dyDescent="0.25">
      <c r="B62" s="8" t="s">
        <v>28</v>
      </c>
      <c r="C62" s="7">
        <f>C2</f>
        <v>5000</v>
      </c>
    </row>
    <row r="63" spans="1:9" x14ac:dyDescent="0.25">
      <c r="B63" s="8" t="s">
        <v>29</v>
      </c>
      <c r="C63" s="7">
        <f>SUM(C3:C4)</f>
        <v>6686</v>
      </c>
    </row>
    <row r="64" spans="1:9" x14ac:dyDescent="0.25">
      <c r="B64" s="8" t="s">
        <v>30</v>
      </c>
      <c r="C64" s="7">
        <f>C22</f>
        <v>1250</v>
      </c>
    </row>
    <row r="65" spans="2:3" x14ac:dyDescent="0.25">
      <c r="B65" s="8" t="s">
        <v>57</v>
      </c>
      <c r="C65" s="7">
        <f>C5</f>
        <v>8958</v>
      </c>
    </row>
    <row r="66" spans="2:3" x14ac:dyDescent="0.25">
      <c r="B66" s="8" t="s">
        <v>24</v>
      </c>
      <c r="C66" s="9">
        <f>SUM(C60:C65)</f>
        <v>206328.15</v>
      </c>
    </row>
    <row r="67" spans="2:3" x14ac:dyDescent="0.25">
      <c r="B67" s="8" t="s">
        <v>5</v>
      </c>
      <c r="C67">
        <v>195.59</v>
      </c>
    </row>
    <row r="68" spans="2:3" x14ac:dyDescent="0.25">
      <c r="B68" s="8" t="s">
        <v>58</v>
      </c>
      <c r="C68" s="10">
        <f>SUM(C66:C67)</f>
        <v>206523.74</v>
      </c>
    </row>
  </sheetData>
  <sortState xmlns:xlrd2="http://schemas.microsoft.com/office/spreadsheetml/2017/richdata2" ref="A2:E56">
    <sortCondition ref="D2:D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 JUNE 27 TO JULY 4</vt:lpstr>
      <vt:lpstr>SORTED JUNE 27 TO JULY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Jay Padios</dc:creator>
  <cp:lastModifiedBy>Ian Jay Padios</cp:lastModifiedBy>
  <dcterms:created xsi:type="dcterms:W3CDTF">2024-10-07T05:19:49Z</dcterms:created>
  <dcterms:modified xsi:type="dcterms:W3CDTF">2024-10-07T06:29:37Z</dcterms:modified>
</cp:coreProperties>
</file>